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c2ee2cc17d3e43/Documents/"/>
    </mc:Choice>
  </mc:AlternateContent>
  <xr:revisionPtr revIDLastSave="0" documentId="8_{D605D15E-874F-4B40-8A30-B61368FCF71E}" xr6:coauthVersionLast="43" xr6:coauthVersionMax="43" xr10:uidLastSave="{00000000-0000-0000-0000-000000000000}"/>
  <bookViews>
    <workbookView xWindow="-120" yWindow="-120" windowWidth="20730" windowHeight="11160" xr2:uid="{DF917516-3CA6-4852-BDBE-75B81FB2B65F}"/>
  </bookViews>
  <sheets>
    <sheet name="Dashboard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7" i="1" l="1"/>
  <c r="L7" i="1"/>
  <c r="G7" i="1"/>
  <c r="B7" i="1"/>
  <c r="Q6" i="1"/>
  <c r="L6" i="1"/>
  <c r="G6" i="1"/>
  <c r="B6" i="1"/>
</calcChain>
</file>

<file path=xl/sharedStrings.xml><?xml version="1.0" encoding="utf-8"?>
<sst xmlns="http://schemas.openxmlformats.org/spreadsheetml/2006/main" count="6" uniqueCount="6">
  <si>
    <t>2025 Sales Performance</t>
  </si>
  <si>
    <t>Full 2025 . Data as at 6 January 2026</t>
  </si>
  <si>
    <t>TOTAL REVENUE</t>
  </si>
  <si>
    <t>TOTAL PROFIT</t>
  </si>
  <si>
    <t>AVERAGE ORDER VALUE</t>
  </si>
  <si>
    <t>TOTAL 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</si>
</sst>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A]* #,##0.00_-;\-[$₦-46A]* #,##0.00_-;_-[$₦-46A]* &quot;-&quot;??_-;_-@_-"/>
  </numFmts>
  <fonts count="4" x14ac:knownFonts="1">
    <font>
      <sz val="11"/>
      <color theme="1"/>
      <name val="Calibri"/>
      <family val="2"/>
      <charset val="1"/>
    </font>
    <font>
      <sz val="20"/>
      <color theme="1"/>
      <name val="Times New Roman"/>
      <family val="1"/>
    </font>
    <font>
      <i/>
      <sz val="10"/>
      <color theme="0" tint="-0.499984740745262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2" borderId="1" xfId="0" applyFont="1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164" fontId="0" fillId="2" borderId="4" xfId="0" applyNumberForma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2933595</c:v>
              </c:pt>
              <c:pt idx="1">
                <c:v>1782810</c:v>
              </c:pt>
              <c:pt idx="2">
                <c:v>2504700</c:v>
              </c:pt>
              <c:pt idx="3">
                <c:v>3004950</c:v>
              </c:pt>
              <c:pt idx="4">
                <c:v>3064150</c:v>
              </c:pt>
              <c:pt idx="5">
                <c:v>3193850</c:v>
              </c:pt>
              <c:pt idx="6">
                <c:v>2117250</c:v>
              </c:pt>
              <c:pt idx="7">
                <c:v>2738230</c:v>
              </c:pt>
              <c:pt idx="8">
                <c:v>860650</c:v>
              </c:pt>
              <c:pt idx="9">
                <c:v>3174045</c:v>
              </c:pt>
              <c:pt idx="10">
                <c:v>3201295</c:v>
              </c:pt>
              <c:pt idx="11">
                <c:v>2919400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346-4D92-8380-FF94EA1F0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610288"/>
        <c:axId val="906521152"/>
      </c:lineChart>
      <c:catAx>
        <c:axId val="98361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21152"/>
        <c:crosses val="autoZero"/>
        <c:auto val="1"/>
        <c:lblAlgn val="ctr"/>
        <c:lblOffset val="100"/>
        <c:noMultiLvlLbl val="0"/>
      </c:catAx>
      <c:valAx>
        <c:axId val="9065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Beauty - Sum of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285600</c:v>
              </c:pt>
              <c:pt idx="1">
                <c:v>0</c:v>
              </c:pt>
              <c:pt idx="2">
                <c:v>13600</c:v>
              </c:pt>
              <c:pt idx="3">
                <c:v>321980</c:v>
              </c:pt>
              <c:pt idx="4">
                <c:v>61200</c:v>
              </c:pt>
            </c:numLit>
          </c:val>
          <c:extLst>
            <c:ext xmlns:c16="http://schemas.microsoft.com/office/drawing/2014/chart" uri="{C3380CC4-5D6E-409C-BE32-E72D297353CC}">
              <c16:uniqueId val="{00000000-3630-4121-B0D8-49A401C17B84}"/>
            </c:ext>
          </c:extLst>
        </c:ser>
        <c:ser>
          <c:idx val="1"/>
          <c:order val="1"/>
          <c:tx>
            <c:v>Beauty - 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121800</c:v>
              </c:pt>
              <c:pt idx="1">
                <c:v>0</c:v>
              </c:pt>
              <c:pt idx="2">
                <c:v>5800</c:v>
              </c:pt>
              <c:pt idx="3">
                <c:v>134780</c:v>
              </c:pt>
              <c:pt idx="4">
                <c:v>26100</c:v>
              </c:pt>
            </c:numLit>
          </c:val>
          <c:extLst>
            <c:ext xmlns:c16="http://schemas.microsoft.com/office/drawing/2014/chart" uri="{C3380CC4-5D6E-409C-BE32-E72D297353CC}">
              <c16:uniqueId val="{00000001-3630-4121-B0D8-49A401C17B84}"/>
            </c:ext>
          </c:extLst>
        </c:ser>
        <c:ser>
          <c:idx val="2"/>
          <c:order val="2"/>
          <c:tx>
            <c:v>Electronics - Sum of revenue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836900</c:v>
              </c:pt>
              <c:pt idx="1">
                <c:v>1257300</c:v>
              </c:pt>
              <c:pt idx="2">
                <c:v>1174900</c:v>
              </c:pt>
              <c:pt idx="3">
                <c:v>2413875</c:v>
              </c:pt>
              <c:pt idx="4">
                <c:v>717350</c:v>
              </c:pt>
            </c:numLit>
          </c:val>
          <c:extLst>
            <c:ext xmlns:c16="http://schemas.microsoft.com/office/drawing/2014/chart" uri="{C3380CC4-5D6E-409C-BE32-E72D297353CC}">
              <c16:uniqueId val="{00000002-3630-4121-B0D8-49A401C17B84}"/>
            </c:ext>
          </c:extLst>
        </c:ser>
        <c:ser>
          <c:idx val="3"/>
          <c:order val="3"/>
          <c:tx>
            <c:v>Electronics - Sum of profit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302900</c:v>
              </c:pt>
              <c:pt idx="1">
                <c:v>442600</c:v>
              </c:pt>
              <c:pt idx="2">
                <c:v>420400</c:v>
              </c:pt>
              <c:pt idx="3">
                <c:v>857475</c:v>
              </c:pt>
              <c:pt idx="4">
                <c:v>258050</c:v>
              </c:pt>
            </c:numLit>
          </c:val>
          <c:extLst>
            <c:ext xmlns:c16="http://schemas.microsoft.com/office/drawing/2014/chart" uri="{C3380CC4-5D6E-409C-BE32-E72D297353CC}">
              <c16:uniqueId val="{00000003-3630-4121-B0D8-49A401C17B84}"/>
            </c:ext>
          </c:extLst>
        </c:ser>
        <c:ser>
          <c:idx val="4"/>
          <c:order val="4"/>
          <c:tx>
            <c:v>Fashion - Sum of revenue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1913625</c:v>
              </c:pt>
              <c:pt idx="1">
                <c:v>723750</c:v>
              </c:pt>
              <c:pt idx="2">
                <c:v>650150</c:v>
              </c:pt>
              <c:pt idx="3">
                <c:v>3068250</c:v>
              </c:pt>
              <c:pt idx="4">
                <c:v>1663625</c:v>
              </c:pt>
            </c:numLit>
          </c:val>
          <c:extLst>
            <c:ext xmlns:c16="http://schemas.microsoft.com/office/drawing/2014/chart" uri="{C3380CC4-5D6E-409C-BE32-E72D297353CC}">
              <c16:uniqueId val="{00000004-3630-4121-B0D8-49A401C17B84}"/>
            </c:ext>
          </c:extLst>
        </c:ser>
        <c:ser>
          <c:idx val="5"/>
          <c:order val="5"/>
          <c:tx>
            <c:v>Fashion - Sum of profit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736125</c:v>
              </c:pt>
              <c:pt idx="1">
                <c:v>284250</c:v>
              </c:pt>
              <c:pt idx="2">
                <c:v>235150</c:v>
              </c:pt>
              <c:pt idx="3">
                <c:v>1200250</c:v>
              </c:pt>
              <c:pt idx="4">
                <c:v>626625</c:v>
              </c:pt>
            </c:numLit>
          </c:val>
          <c:extLst>
            <c:ext xmlns:c16="http://schemas.microsoft.com/office/drawing/2014/chart" uri="{C3380CC4-5D6E-409C-BE32-E72D297353CC}">
              <c16:uniqueId val="{00000005-3630-4121-B0D8-49A401C17B84}"/>
            </c:ext>
          </c:extLst>
        </c:ser>
        <c:ser>
          <c:idx val="6"/>
          <c:order val="6"/>
          <c:tx>
            <c:v>Groceries - Sum of revenue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2057620</c:v>
              </c:pt>
              <c:pt idx="1">
                <c:v>1023200</c:v>
              </c:pt>
              <c:pt idx="2">
                <c:v>837500</c:v>
              </c:pt>
              <c:pt idx="3">
                <c:v>3188240</c:v>
              </c:pt>
              <c:pt idx="4">
                <c:v>1328660</c:v>
              </c:pt>
            </c:numLit>
          </c:val>
          <c:extLst>
            <c:ext xmlns:c16="http://schemas.microsoft.com/office/drawing/2014/chart" uri="{C3380CC4-5D6E-409C-BE32-E72D297353CC}">
              <c16:uniqueId val="{00000006-3630-4121-B0D8-49A401C17B84}"/>
            </c:ext>
          </c:extLst>
        </c:ser>
        <c:ser>
          <c:idx val="7"/>
          <c:order val="7"/>
          <c:tx>
            <c:v>Groceries - Sum of profit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331420</c:v>
              </c:pt>
              <c:pt idx="1">
                <c:v>159600</c:v>
              </c:pt>
              <c:pt idx="2">
                <c:v>122300</c:v>
              </c:pt>
              <c:pt idx="3">
                <c:v>487040</c:v>
              </c:pt>
              <c:pt idx="4">
                <c:v>209260</c:v>
              </c:pt>
            </c:numLit>
          </c:val>
          <c:extLst>
            <c:ext xmlns:c16="http://schemas.microsoft.com/office/drawing/2014/chart" uri="{C3380CC4-5D6E-409C-BE32-E72D297353CC}">
              <c16:uniqueId val="{00000007-3630-4121-B0D8-49A401C17B84}"/>
            </c:ext>
          </c:extLst>
        </c:ser>
        <c:ser>
          <c:idx val="8"/>
          <c:order val="8"/>
          <c:tx>
            <c:v>Home - Sum of revenue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422400</c:v>
              </c:pt>
              <c:pt idx="1">
                <c:v>404800</c:v>
              </c:pt>
              <c:pt idx="2">
                <c:v>832000</c:v>
              </c:pt>
              <c:pt idx="3">
                <c:v>1803200</c:v>
              </c:pt>
              <c:pt idx="4">
                <c:v>579200</c:v>
              </c:pt>
            </c:numLit>
          </c:val>
          <c:extLst>
            <c:ext xmlns:c16="http://schemas.microsoft.com/office/drawing/2014/chart" uri="{C3380CC4-5D6E-409C-BE32-E72D297353CC}">
              <c16:uniqueId val="{00000008-3630-4121-B0D8-49A401C17B84}"/>
            </c:ext>
          </c:extLst>
        </c:ser>
        <c:ser>
          <c:idx val="9"/>
          <c:order val="9"/>
          <c:tx>
            <c:v>Home - Sum of profit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146400</c:v>
              </c:pt>
              <c:pt idx="1">
                <c:v>143300</c:v>
              </c:pt>
              <c:pt idx="2">
                <c:v>299500</c:v>
              </c:pt>
              <c:pt idx="3">
                <c:v>664200</c:v>
              </c:pt>
              <c:pt idx="4">
                <c:v>209700</c:v>
              </c:pt>
            </c:numLit>
          </c:val>
          <c:extLst>
            <c:ext xmlns:c16="http://schemas.microsoft.com/office/drawing/2014/chart" uri="{C3380CC4-5D6E-409C-BE32-E72D297353CC}">
              <c16:uniqueId val="{00000009-3630-4121-B0D8-49A401C17B84}"/>
            </c:ext>
          </c:extLst>
        </c:ser>
        <c:ser>
          <c:idx val="10"/>
          <c:order val="10"/>
          <c:tx>
            <c:v>Textiles - Sum of revenue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428000</c:v>
              </c:pt>
              <c:pt idx="1">
                <c:v>914600</c:v>
              </c:pt>
              <c:pt idx="2">
                <c:v>297200</c:v>
              </c:pt>
              <c:pt idx="3">
                <c:v>1462000</c:v>
              </c:pt>
              <c:pt idx="4">
                <c:v>814200</c:v>
              </c:pt>
            </c:numLit>
          </c:val>
          <c:extLst>
            <c:ext xmlns:c16="http://schemas.microsoft.com/office/drawing/2014/chart" uri="{C3380CC4-5D6E-409C-BE32-E72D297353CC}">
              <c16:uniqueId val="{0000000A-3630-4121-B0D8-49A401C17B84}"/>
            </c:ext>
          </c:extLst>
        </c:ser>
        <c:ser>
          <c:idx val="11"/>
          <c:order val="11"/>
          <c:tx>
            <c:v>Textiles - Sum of profit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Abuja</c:v>
              </c:pt>
              <c:pt idx="1">
                <c:v>Ibadan</c:v>
              </c:pt>
              <c:pt idx="2">
                <c:v>Kano</c:v>
              </c:pt>
              <c:pt idx="3">
                <c:v>Lagos</c:v>
              </c:pt>
              <c:pt idx="4">
                <c:v>Port Harcourt</c:v>
              </c:pt>
            </c:strLit>
          </c:cat>
          <c:val>
            <c:numLit>
              <c:formatCode>General</c:formatCode>
              <c:ptCount val="5"/>
              <c:pt idx="0">
                <c:v>152500</c:v>
              </c:pt>
              <c:pt idx="1">
                <c:v>306100</c:v>
              </c:pt>
              <c:pt idx="2">
                <c:v>101900</c:v>
              </c:pt>
              <c:pt idx="3">
                <c:v>509100</c:v>
              </c:pt>
              <c:pt idx="4">
                <c:v>281700</c:v>
              </c:pt>
            </c:numLit>
          </c:val>
          <c:extLst>
            <c:ext xmlns:c16="http://schemas.microsoft.com/office/drawing/2014/chart" uri="{C3380CC4-5D6E-409C-BE32-E72D297353CC}">
              <c16:uniqueId val="{0000000B-3630-4121-B0D8-49A401C17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687584"/>
        <c:axId val="990787104"/>
      </c:barChart>
      <c:catAx>
        <c:axId val="9746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87104"/>
        <c:crosses val="autoZero"/>
        <c:auto val="1"/>
        <c:lblAlgn val="ctr"/>
        <c:lblOffset val="100"/>
        <c:noMultiLvlLbl val="0"/>
      </c:catAx>
      <c:valAx>
        <c:axId val="9907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Ankle Boots</c:v>
              </c:pt>
              <c:pt idx="1">
                <c:v>Sneakers</c:v>
              </c:pt>
              <c:pt idx="2">
                <c:v>Rice 25kg</c:v>
              </c:pt>
              <c:pt idx="3">
                <c:v>Wireless Earbuds</c:v>
              </c:pt>
              <c:pt idx="4">
                <c:v>Lace Material 5yd</c:v>
              </c:pt>
              <c:pt idx="5">
                <c:v>LED Ring Light</c:v>
              </c:pt>
              <c:pt idx="6">
                <c:v>Blender 1.5L</c:v>
              </c:pt>
              <c:pt idx="7">
                <c:v>Bedsheet Set</c:v>
              </c:pt>
              <c:pt idx="8">
                <c:v>Power Bank 20000mAh</c:v>
              </c:pt>
              <c:pt idx="9">
                <c:v>Ankara Fabric 6yd</c:v>
              </c:pt>
            </c:strLit>
          </c:cat>
          <c:val>
            <c:numLit>
              <c:formatCode>General</c:formatCode>
              <c:ptCount val="10"/>
              <c:pt idx="0">
                <c:v>1732150</c:v>
              </c:pt>
              <c:pt idx="1">
                <c:v>1350250</c:v>
              </c:pt>
              <c:pt idx="2">
                <c:v>1104300</c:v>
              </c:pt>
              <c:pt idx="3">
                <c:v>1046325</c:v>
              </c:pt>
              <c:pt idx="4">
                <c:v>1023700</c:v>
              </c:pt>
              <c:pt idx="5">
                <c:v>821300</c:v>
              </c:pt>
              <c:pt idx="6">
                <c:v>755400</c:v>
              </c:pt>
              <c:pt idx="7">
                <c:v>707700</c:v>
              </c:pt>
              <c:pt idx="8">
                <c:v>413800</c:v>
              </c:pt>
              <c:pt idx="9">
                <c:v>327600</c:v>
              </c:pt>
            </c:numLit>
          </c:val>
          <c:extLst>
            <c:ext xmlns:c16="http://schemas.microsoft.com/office/drawing/2014/chart" uri="{C3380CC4-5D6E-409C-BE32-E72D297353CC}">
              <c16:uniqueId val="{00000000-5762-4066-9B87-2777D0136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229472"/>
        <c:axId val="990791264"/>
      </c:barChart>
      <c:catAx>
        <c:axId val="98722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91264"/>
        <c:crosses val="autoZero"/>
        <c:auto val="1"/>
        <c:lblAlgn val="ctr"/>
        <c:lblOffset val="100"/>
        <c:noMultiLvlLbl val="0"/>
      </c:catAx>
      <c:valAx>
        <c:axId val="9907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22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9</xdr:row>
      <xdr:rowOff>0</xdr:rowOff>
    </xdr:from>
    <xdr:to>
      <xdr:col>13</xdr:col>
      <xdr:colOff>247649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4FFF0-42C0-4C94-9D23-C93FE1B5A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190499</xdr:rowOff>
    </xdr:from>
    <xdr:to>
      <xdr:col>13</xdr:col>
      <xdr:colOff>238125</xdr:colOff>
      <xdr:row>39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3F1DDE-9DA0-4CCC-A21D-D1BD088E9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40</xdr:row>
      <xdr:rowOff>180975</xdr:rowOff>
    </xdr:from>
    <xdr:to>
      <xdr:col>14</xdr:col>
      <xdr:colOff>0</xdr:colOff>
      <xdr:row>55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842BE6-D6F9-49F8-974D-44D09BFDF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ec2ee2cc17d3e43/Desktop/W1%20DATA%20ASSIGNMENT%20FILE%20Excel/W2_D2_Sales_Dataset%20(1)%20for%20D3%20working_Ass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s"/>
      <sheetName val="Sheet2"/>
      <sheetName val="Pivot table and slice"/>
      <sheetName val="Dashboard"/>
      <sheetName val="Sales"/>
      <sheetName val="Summary"/>
      <sheetName val="README"/>
      <sheetName val="Targets"/>
      <sheetName val="Answers"/>
    </sheetNames>
    <sheetDataSet>
      <sheetData sheetId="0"/>
      <sheetData sheetId="1"/>
      <sheetData sheetId="2"/>
      <sheetData sheetId="3"/>
      <sheetData sheetId="4"/>
      <sheetData sheetId="5">
        <row r="1">
          <cell r="B1">
            <v>31494925</v>
          </cell>
        </row>
        <row r="2">
          <cell r="B2">
            <v>9776325</v>
          </cell>
        </row>
        <row r="3">
          <cell r="B3">
            <v>0.31040953423448381</v>
          </cell>
        </row>
        <row r="4">
          <cell r="B4">
            <v>406</v>
          </cell>
        </row>
        <row r="5">
          <cell r="B5">
            <v>77573.706896551725</v>
          </cell>
        </row>
        <row r="6">
          <cell r="B6">
            <v>1273</v>
          </cell>
        </row>
        <row r="7">
          <cell r="B7">
            <v>460000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BD0F-EEC1-4679-8A56-FEF5EAAF6EA9}">
  <dimension ref="B2:T7"/>
  <sheetViews>
    <sheetView showGridLines="0" tabSelected="1" topLeftCell="A6" workbookViewId="0">
      <selection activeCell="Z27" sqref="Z27"/>
    </sheetView>
  </sheetViews>
  <sheetFormatPr defaultColWidth="3.7109375" defaultRowHeight="15" x14ac:dyDescent="0.25"/>
  <cols>
    <col min="1" max="1" width="3.7109375" style="2"/>
    <col min="2" max="2" width="15.7109375" style="2" bestFit="1" customWidth="1"/>
    <col min="3" max="6" width="3.7109375" style="2"/>
    <col min="7" max="7" width="14.7109375" style="2" bestFit="1" customWidth="1"/>
    <col min="8" max="11" width="3.7109375" style="2"/>
    <col min="12" max="12" width="12" style="2" bestFit="1" customWidth="1"/>
    <col min="13" max="14" width="3.7109375" style="2"/>
    <col min="15" max="15" width="13.85546875" style="2" customWidth="1"/>
    <col min="16" max="16" width="3.7109375" style="2"/>
    <col min="17" max="17" width="5" style="2" bestFit="1" customWidth="1"/>
    <col min="18" max="19" width="3.7109375" style="2"/>
    <col min="20" max="20" width="5.7109375" style="2" customWidth="1"/>
    <col min="21" max="16384" width="3.7109375" style="2"/>
  </cols>
  <sheetData>
    <row r="2" spans="2:20" ht="26.25" x14ac:dyDescent="0.4">
      <c r="B2" s="1" t="s">
        <v>0</v>
      </c>
    </row>
    <row r="3" spans="2:20" x14ac:dyDescent="0.25">
      <c r="B3" s="3" t="s">
        <v>1</v>
      </c>
    </row>
    <row r="5" spans="2:20" x14ac:dyDescent="0.25">
      <c r="B5" s="4" t="s">
        <v>2</v>
      </c>
      <c r="C5" s="5"/>
      <c r="D5" s="5"/>
      <c r="E5" s="6"/>
      <c r="G5" s="4" t="s">
        <v>3</v>
      </c>
      <c r="H5" s="5"/>
      <c r="I5" s="5"/>
      <c r="J5" s="6"/>
      <c r="L5" s="4" t="s">
        <v>4</v>
      </c>
      <c r="M5" s="5"/>
      <c r="N5" s="5"/>
      <c r="O5" s="6"/>
      <c r="Q5" s="4" t="s">
        <v>5</v>
      </c>
      <c r="R5" s="5"/>
      <c r="S5" s="5"/>
      <c r="T5" s="6"/>
    </row>
    <row r="6" spans="2:20" x14ac:dyDescent="0.25">
      <c r="B6" s="7">
        <f>[1]Summary!B1</f>
        <v>31494925</v>
      </c>
      <c r="C6" s="8"/>
      <c r="D6" s="8"/>
      <c r="E6" s="9"/>
      <c r="G6" s="7">
        <f>[1]Summary!B2</f>
        <v>9776325</v>
      </c>
      <c r="H6" s="8"/>
      <c r="I6" s="8"/>
      <c r="J6" s="9"/>
      <c r="L6" s="7">
        <f>[1]Summary!B5</f>
        <v>77573.706896551725</v>
      </c>
      <c r="M6" s="8"/>
      <c r="N6" s="8"/>
      <c r="O6" s="9"/>
      <c r="Q6" s="10">
        <f>[1]Summary!B6</f>
        <v>1273</v>
      </c>
      <c r="R6" s="8"/>
      <c r="S6" s="8"/>
      <c r="T6" s="9"/>
    </row>
    <row r="7" spans="2:20" x14ac:dyDescent="0.25">
      <c r="B7" s="11" t="str">
        <f>"across" &amp;[1]Summary!B4&amp; "orders"</f>
        <v>across406orders</v>
      </c>
      <c r="C7" s="12"/>
      <c r="D7" s="12"/>
      <c r="E7" s="13"/>
      <c r="G7" s="11" t="str">
        <f>TEXT([1]Summary!B3,"0.0%")&amp;"Margin"</f>
        <v>31.0%Margin</v>
      </c>
      <c r="H7" s="12"/>
      <c r="I7" s="12"/>
      <c r="J7" s="13"/>
      <c r="L7" s="11" t="str">
        <f>"across120customer"</f>
        <v>across120customer</v>
      </c>
      <c r="M7" s="12"/>
      <c r="N7" s="12"/>
      <c r="O7" s="13"/>
      <c r="Q7" s="11" t="str">
        <f>"Largestorde"&amp;TEXT([1]Summary!B7,"#,##0")</f>
        <v>Largestorde460,000</v>
      </c>
      <c r="R7" s="12"/>
      <c r="S7" s="12"/>
      <c r="T7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2026-09-09T23:08:19Z</dcterms:created>
  <dcterms:modified xsi:type="dcterms:W3CDTF">2026-09-09T23:11:05Z</dcterms:modified>
</cp:coreProperties>
</file>